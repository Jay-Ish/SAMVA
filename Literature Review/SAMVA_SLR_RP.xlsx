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defaultThemeVersion="166925"/>
  <mc:AlternateContent xmlns:mc="http://schemas.openxmlformats.org/markup-compatibility/2006">
    <mc:Choice Requires="x15">
      <x15ac:absPath xmlns:x15ac="http://schemas.microsoft.com/office/spreadsheetml/2010/11/ac" url="/Users/jayish/Desktop/SAMVA_FINAL REPORT/"/>
    </mc:Choice>
  </mc:AlternateContent>
  <xr:revisionPtr revIDLastSave="0" documentId="13_ncr:1_{C03E05D7-5C13-8E4A-963A-291BDB4217AD}" xr6:coauthVersionLast="47" xr6:coauthVersionMax="47" xr10:uidLastSave="{00000000-0000-0000-0000-000000000000}"/>
  <bookViews>
    <workbookView xWindow="0" yWindow="0" windowWidth="28800" windowHeight="18000" xr2:uid="{D19F8FF9-C05C-2548-A0C4-18F3ED74490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0" i="1" l="1"/>
  <c r="A21" i="1"/>
  <c r="A22" i="1"/>
  <c r="A23" i="1"/>
  <c r="A24" i="1"/>
  <c r="A25" i="1"/>
  <c r="A26" i="1"/>
  <c r="A27" i="1"/>
  <c r="A28" i="1"/>
  <c r="A29" i="1"/>
  <c r="A30" i="1"/>
  <c r="A31" i="1"/>
  <c r="A32" i="1"/>
  <c r="A33" i="1"/>
  <c r="A34" i="1"/>
  <c r="A35" i="1"/>
  <c r="A36" i="1"/>
  <c r="A37" i="1"/>
  <c r="A38" i="1"/>
  <c r="A39" i="1"/>
  <c r="A40" i="1"/>
  <c r="A41" i="1"/>
  <c r="A42" i="1"/>
  <c r="A43" i="1"/>
  <c r="A44" i="1"/>
  <c r="A45" i="1"/>
  <c r="A46" i="1"/>
  <c r="A47" i="1"/>
  <c r="A48" i="1"/>
  <c r="A49" i="1"/>
  <c r="A7" i="1"/>
  <c r="A8" i="1"/>
  <c r="A9" i="1"/>
  <c r="A10" i="1"/>
  <c r="A11" i="1"/>
  <c r="A12" i="1"/>
  <c r="A13" i="1"/>
  <c r="A14" i="1"/>
  <c r="A15" i="1"/>
  <c r="A16" i="1"/>
  <c r="A17" i="1"/>
  <c r="A18" i="1"/>
  <c r="A19" i="1"/>
  <c r="A4" i="1"/>
  <c r="A5" i="1"/>
  <c r="A6" i="1"/>
  <c r="A3" i="1"/>
</calcChain>
</file>

<file path=xl/sharedStrings.xml><?xml version="1.0" encoding="utf-8"?>
<sst xmlns="http://schemas.openxmlformats.org/spreadsheetml/2006/main" count="193" uniqueCount="167">
  <si>
    <t>RQ1: What technique or framework is proposed to support vulnerability analysis?</t>
  </si>
  <si>
    <t xml:space="preserve">This paper uses a GPT-2 based language model to predict CVE severity level (Low / Medium / High / Critical) directly from unstructured vulnerability description text. Instead of relying on manual CVSS scoring, it frames severity assignmnet as an automated text classification problem. </t>
  </si>
  <si>
    <t>This model is evaluated on a test set of 7,765 NVD CVEs and reports 84.2% accuracy and F1-score of 0.82. It is compared against SVM, Random Forest, and LSTM baselines to show that the GPT-2 approach perfoms better. The class imbalance in the severity distribution is handled using oversampling and contextual data augmentation on the trainig data.</t>
  </si>
  <si>
    <t xml:space="preserve"> X</t>
  </si>
  <si>
    <t>This paper proposes a multiclass hybrid ML approach that combines TF-IDF and bag of words features extracted from CVE description text with structured NVD metadata to predict individual CVSS v2 vector components and the overall severity class.</t>
  </si>
  <si>
    <t>The model is trained on over 100,000 NVD CVEs, and achieves 77–92% accuracy per CVSS vector component depending on the metric. It Uses Random Forest, SVM, decision tree, K-NN, Naive Bayes, and multilayer perceptron in an ensemble voting and evaluated against NVD ground truth values per metric.</t>
  </si>
  <si>
    <t xml:space="preserve">This paper proposes EPSS v3, an enhanced exploit prediction model as a new way to analyse vulnerabilities. It incorporates community threat intelligence signals alongside NVD features using XGBoost to estimate the probability that a CVE will be exploited within 30 days. This helps move away from static CVSS scores to a dynamic and practical prioritiasation approach during the analysis phase. </t>
  </si>
  <si>
    <t>The main evaluation metric was AUC, precision@k, and recall@k. EPSS v3 achieved 82% better than previous EPSS versions in identifying exploited vulnerabilities. It was Compared against EPSS v1, EPSS v2, and traditional CVSS based scoring.</t>
  </si>
  <si>
    <t>It uses real world exploitation records from threat intelligence providers, social media signals, vendor advisories, and ExploitDB alongside NVD/CVSS features as the primary intelligence sources.</t>
  </si>
  <si>
    <t xml:space="preserve">This paper proposes a deep learning model, based on BERT to automatically predict CVSS v3 scores right after a vulnerability is published. It uses the standard NVD description together with extra text collected from public references linked with NVD. The goal is to make the analysis phase faster and less dependent on manual expert scoring by using richer information from the web. </t>
  </si>
  <si>
    <t xml:space="preserve">They tested their models on a large set of CVEs published from 2016 to 2021. The models were evaluated using accuracy, F1 Score, and other classification metrics for each part of the CVSS vector. Their best BERT based models performed better than earlier methods that only used the short NVD desciption, although adding extra OSINT texts gave only small improvements. </t>
  </si>
  <si>
    <t xml:space="preserve">The uses texts from Open Source Intelligence (OSINT), especially the web pages referenced from the NVD entries (such as vendor advisories, blog posts, GitHub issues. They also explored the quality and usefulness of these different reference sources. Social media is mentioned as a possible future source. </t>
  </si>
  <si>
    <t xml:space="preserve">This paper proposes CVE2CWE, an automated technique that uses TF-IDF-based semantic similarity approach that maps CVE descriptions to the correct CWE category. It helps the analyse phase by automatically identifying the root weakness type instead of depending on slow manual mapping by experts. This makes vulnerability analysis faster and reliable. </t>
  </si>
  <si>
    <t>It uses the MITRE CWE as the primary contextual knowledge source. CVE descriptions from NVD are matched against CWE descriptions to determine weakness category.</t>
  </si>
  <si>
    <t>This paper proposes GreenBERT, a lightweight distilled BERT variant using knowledge distillation with an ensemble of specialised student transformers. Each model is trained to predict individual CVSS base metrics directly from vulnerability textual descriptions. It is designed for resource constrained deployment without sacrificing accuracy.</t>
  </si>
  <si>
    <t>The model was compared against BERT-base, RoBERTa, and DistilBERT on approximately 120,000 NVD CVEs. It achieves accuracy and F1 score within BERT and delivering around 47% lower computational cost. It reports accuracy, F1, and inference time.</t>
  </si>
  <si>
    <t>This paper proposes a two stage lightweight generative AI pipeline for automated CVSS score prediction. It uses a fine-tuned large language models primarlily GPT-3.5 Turbo to predict CVSS base scores from CVE descriptions without requiring full-scale GPT models.</t>
  </si>
  <si>
    <t>It was evaluated on NVD data through extensive experiments comparing different LLMs for the augmentation stage such as GPT-3.5 Turbo, Claude models, etc. and various lightweight BERT variants. It outperforms standard BERT models that uses data from 66 different sources. The key metrics include prediction accuracy/F1 for CVSS metrics and severity classes, plus inference time and resource usage.</t>
  </si>
  <si>
    <t>X</t>
  </si>
  <si>
    <t xml:space="preserve">This paper proposes using BERT-MRC (Machine Reading Comprehension) to extract structured vulnerability elements such as Attacker, Impact, Vector, Situation, Cause, Product, Version from CVE description text before applying severity assessment. These structered elements are then used by classifiers to predict 6 CVSS Base metrics and final severity score. </t>
  </si>
  <si>
    <t>It was tested on a manually labelled dataset of 4371 NVD vulnerabilities. It achieves classification accuracy by 12–38% over baseline models that use full raw descriptions..</t>
  </si>
  <si>
    <t>This paper proposes CVEDrill, an NLP pipeline using SecureBERT that extracts attack semantic features from CVE descriptions and simultaneously estimates CVSS vector components and predicts CWE categories in a single unified workflow.</t>
  </si>
  <si>
    <t>It was tested on over 10,000 NVD CVEs and achieves 82% CWE classification accuracy compared to 56% for ChatGPT. CVSS vector prediction accuracy also reported per component.</t>
  </si>
  <si>
    <t>It uses NVD CVE description text and the MITRE CWE taxonomy. The attack semantic features are extracted from CVE text serve as the core contextual input for both CVSS and CWE prediction.</t>
  </si>
  <si>
    <t>This paper proposes a GNN-based model that builds two graphs such as a functional call graphs centered on vulnerable functions and sensitive APIs and a vulnerability attribute graph. It uses Graph Attention Network (GAT) to learn both graphs fro automated severity assessment.</t>
  </si>
  <si>
    <t xml:space="preserve">It was trained and evaluated on dataseets from NVD and SARD. By combining both graphs improves accuracy by 6.85% to 32.9% over single graphs. It outperforms existing methods by 10% in severity classification accuracy. </t>
  </si>
  <si>
    <t>This paper constructs a heterogeneous knowledge graph linking CVE, CWE, CPE, and CAPEC entities from NVD and MITRE databases. It applies graph embeddings mainly TransE also tested DisMult, etc. for link prediction to enable contextual vulnerability reasoning and CWE prediction.</t>
  </si>
  <si>
    <t>It was built from over 200,000 entities. It achieves strong link prediction performance such as high Hits@N and accuracy for CWE/CVE-CPE mappings.  The graph embedding models evaluated on link completion task against random and baseline classifiers.</t>
  </si>
  <si>
    <t>It usses NVD and MITRE as the primary sources. It integrates CWE weakness taxonomy, CPE affected product data, and CAPEC attack pattern entries form the multi-relational graph structure used for contextual analysis.</t>
  </si>
  <si>
    <t xml:space="preserve">This paper proposes a unified knowledge graph in Neo4j integrating CVE, CWE and CPE data. It uses graph modeling and Cypher queries for vulnerability analysis, risk assessment and patch prioritization. </t>
  </si>
  <si>
    <t>It was tested via case study implementation in Neo4j. It demonstrates practical querying and relantionship analysis. It uses limited quantitative metrics mainly usability focused.</t>
  </si>
  <si>
    <t>It uses NVD CVE data, MITRE CWE, and CPE as primary intelligence sources. It builds a unified graph to model relationships between vulnerabilities, weaknesses, and affected products for richer contextual analysis.</t>
  </si>
  <si>
    <t>It used 380 popular Docker images across 3 time periods for vulnerability scanning tools and risk metrics to evaluate how vulnerabilities persist or get resolved. It provides empirical insights into real-world container security trends.</t>
  </si>
  <si>
    <t>It uses NVD and container scanning tools (e.g. Trivy) as main intelligence sources. It also Incorporates contextual factors such as image update frequency, package maintenance, and temporal vulnerability changes for adaptive risk assessment.</t>
  </si>
  <si>
    <t>It analyses longitudinal study of 3362 CVEs affecting Maven artifacts. It Tracks time-to-patch, exploit gap, and risk propagation through transitive dependencies. It finds significant disclosure to patch gaps and that maintainers respond faster to higher severity vulnerabilities</t>
  </si>
  <si>
    <t>It uses data from OSV.dev, Goblin (Maven dependency graph), and GitHub repository metrics. The temporal signals including disclosure date, patch availability, and dependency spread and project characteristics are the core contextual factors.</t>
  </si>
  <si>
    <t>This paper proposes a text mining system that extracts TF-IDF and NLP features from CVE description text to automatically predict individual CVSS v3 base metric values without manual analyst input.</t>
  </si>
  <si>
    <t>It was evaluated on 100,000 NVD CVEs records. It compares against neural network regression against TF-IDF baselines. It achieves higher accuracy per CVSS metric component using Random Forest and SVM classifiers. Metrics reported per individual CVSS component.</t>
  </si>
  <si>
    <t>It proposes a joint CNN model that simultaneously predicts CVSS severity class and exploitability score from structured vulnerability report features/CVE description text. It treats severity and exploitability as correlated tasks in a single model and uses convolutional layers to automatically learn features for vulnerability analysis in the Analyse phase.</t>
  </si>
  <si>
    <t>It was evaluated on a large dataset. It compares performance against traditional machine learning models (SVM, Random Forest, etc.) and reports accuracy and F1-score for both severity category and exploitability prediction.</t>
  </si>
  <si>
    <t>It uses NVD CVE data for severity labels and real-world exploit records for exploitability ground truth. Exploit occurrence data provides the contextual supervision signal for the exploitability prediction task.</t>
  </si>
  <si>
    <t>The paper proposes CVSS-BERT, a multi-output BERT-based model that fine-tunes multiple classification heads to simultaneously predict all 8 CVSS v3.1 base metric components directly from the raw CVE description text. This handles the complex multi-label nature of CVSS vector assignment in a single unified model. This serves as a strong NLP-based technique for rapid and automated vulnerability analysis in the Analyse phase</t>
  </si>
  <si>
    <t>The model was trained and evaluated on a large dataset of CVE descriptions from NVD. It achieves high accuracy across individual CVSS metrics. The final predicted severity scores are very close to human-assigned scores. The approach was compared with traditional machine learning baselines and includes explainability evaluation through saliency maps.</t>
  </si>
  <si>
    <t xml:space="preserve">This paper proposes CVSS-Predictor-AS, a BERT-based model augmented with auxiliary contextual sentences that rebalance the length distribution of CVE descriptions and address long-tail coverage issues for rare vulnerability types and fill information gaps present in short or sparse descriptions. </t>
  </si>
  <si>
    <t>The model was evaluated on the CVEdetail dataset. It achieves improvement in F1 for rare and sparse CVE types compared to vanilla BERT. It was compared against BERT, and prior CVSS prediction models.</t>
  </si>
  <si>
    <t xml:space="preserve">This paper proposes MultiCNN, an ensemble of specialised convolutional Neural Networks (CNN). Each CNN predicts one CVSS base metric such as AV, AC, PR, UI, S, C, I, A directly from the vulnerability description. The predicted metrics are combined to generate the full CVSS vector and severity score. </t>
  </si>
  <si>
    <t>It was evaluated on a large NVD CVE dataset, and metrics such as accuracy, precision, recall, and F1-score have been employed. It's competitive with BERT but with much faster inference time.</t>
  </si>
  <si>
    <t>This paper proposes an optimized machine learning scheme to automatically predict the CVSS Base Score directly from the textual description of a vulnerability. The approach uses traditional ML techniques combined with an optimized model to generate the severity score without manual assessment.</t>
  </si>
  <si>
    <t>It was evaluated on NVD CVE dataset with textual descriptions and official CVSS scores. The optimized model shows strong prediction performance for the final Base Score. It is compared against baseline machine learning approaches, demonstrating efficiency and effectiveness for automated scoring.</t>
  </si>
  <si>
    <t>This paper proposes a ML framework for automatically classifying vulnerability types directly from CVE description text. They found that simple word occurrence is more effective than word frequency or sentence nuance for CVE classification. Therefore, they used Bag-of-Words (BoW) representation instead of TF-IDF or BERT vectors, which performed poorly in their experiments.</t>
  </si>
  <si>
    <t>It was evaluated on a large NVD CVE dataset. They compared multiple traditional ML models (Naive Bayes, Decision Tree, Random Forest, SVM). The experiments showed that BoW and traditional ML models work well for vulnerability type classification.</t>
  </si>
  <si>
    <t>It provides a large scale empirical comparative study of four major vulnerability scoring systems (CVSS, EPSS, SSVC, and Microsoft Exploitability Index). It was analyzed on 600 real-world Microsoft Patch Tuesday CVEs, with outcome-linked evaluation, actual exploitation.</t>
  </si>
  <si>
    <t>It examines multiple vulnerability intelligence sources and contextual factors including exploit prediction (EPSS), stakeholder-specific impact (SSVC), environmental considerations, and temporal/exploit maturity signals</t>
  </si>
  <si>
    <t>It conducts an empirical analysis comparing CVSS v3.x Base Scores with real-world exploit availability. It combines NVD data with public exploit databases to show mismatches between assigned severity and actual exploit presence. Highlights that certain Base Score values are overrepresented relative to the number of available exploits.</t>
  </si>
  <si>
    <t>It utilises exploit availability data from public sources primarily ExploitDB and Attacker KB as temporal intelligence. It demonstrates the limitations of static CVSS Base Scores and the value of incorporating real exploit context for more adaptive vulnerability assessment.</t>
  </si>
  <si>
    <t>It conducts a large-scale empirical study on early exploitability prediction models. It evaluates 72 traditional ML models (6 classifiers × 4 feature representations × 3 balancing techniques) plus 5 pre-trained LLMs. It uses only information available at disclosure time, CVE description and linked discussions from SecurityFocus and BugTraq.It was evaluated in a realistic, time-aware setting using NVD and Exploit Database.</t>
  </si>
  <si>
    <t>It uses CVE textual description, online discussions from Security Focus and BugTraq for predicting future exploitation. It also analyses how well limited early contextual/temporal signals can support adaptive vulnerability analysis right after disclosure.</t>
  </si>
  <si>
    <t>It evaluates the EPSS, using precision and recall AUC. It demonstrates significantly better performance compard to CVSS. Combining CVSS with EPSS reduces urgent CVE workload while maintaining coverage of exploited CVEs.</t>
  </si>
  <si>
    <t>It uses a combination of NVD CVE metadata and real-world exploitation evidence collected from multiple threat intelligence feeds and telemetry sources as temporal intelligence. EPSS produces a daily-updated probability score (0–1) focused on actual exploit likelihood rather than theoretical severity, enabling more adaptive vulnerability analysis.</t>
  </si>
  <si>
    <t>This paper proposes TRIAGE, a two-pronged systematic LLM-based framework. It uses Large Language Models with in-context learning and guided extraction to automatically map CVEs to relevant MITRE ATT&amp;CK techniques (TTPs). This helps predict the potential impact and attack patterns of a vulnerability directly from its description, supporting more advanced vulnerability analysis in the Analyse phase</t>
  </si>
  <si>
    <t>It was evaluated on real CVE datasets by mapping to ATT&amp;CK techniques. The LLM-based approach (TRIAGE) outperforms state-of-the-art baseline methods. The paper reports detailed performance metrics for technique prediction and ranking</t>
  </si>
  <si>
    <t>It uses CVE textual descriptions and MITRE ATT&amp;CK knowledge base as core intelligence sources. Leverages LLMs to infer contextual impact and attack techniques, enabling a more adaptive understanding of how a vulnerability could be exploited in different scenarios.</t>
  </si>
  <si>
    <t>This paper proposes a transformer based model using fine tuned DeBERTa to automatically predict CVE severity levels directly from textual descriptions. They combine it with GPT-Neo for synthetic data augmentation to fix class imbalance. LIME is added as an explainable AI layer so analysts can see which words and phrases in the CVE description most influence the severity prediction. This framework supports faster and more transparent vulnerability analysis.</t>
  </si>
  <si>
    <t>The model was evaluated on a large dataset from NVD CVE descriptions, balanced using GPT-Neo augmentation, with around 18k test samples. It achieved 82% overall accuracy and good balanced performance across severity classes, macro F1 around 0.82. It was compared against traditional ML baselines such as SVM and Naive Bayes, which performed lower.</t>
  </si>
  <si>
    <t>This paper proposes using AI models, particularly sentence embedding and classification approaches to automatically predict CVSS severity scores and individual base metrics directly from CVE textual descriptions. It evaluates Universal Sentence Encoder, Generative Pre-trained Transformer (GPT), and Support Vector Machine (SVM) as alternatives or assistants to human experts in the Analyse phase.</t>
  </si>
  <si>
    <t>The models were trained on 118,000 vulnerabilities and tested on 51,000 from the NVD. The Universal Sentence Encoder achieved the best results with 72–77% accuracy on severity level prediction. It outperformed human experts in mean estimation error and variance for different vulnerability types. Standard metrics (precision, recall, F1-score) were used, and they also evaluated prediction of individual CVSS metric components</t>
  </si>
  <si>
    <t xml:space="preserve">The paper proposes a RNN framework enhanced with feature selection techniques for software vulnerability assessment and classification. It integrates data preprocessing, dynamic analysis, VSM generation using TF-IDF, relational feature extraction, and bigram features. The model is compared against traditional ML models like ANN, SVM, and AdaBoost. Different activation functions such as ReLU, Sigmoid, Tanh are tested, with ReLU performing best. This supports the Analyse phase through automated feature learning from source code or descriptions. </t>
  </si>
  <si>
    <t>The model was evaluated on various real-world and synthetic datasets one mentioned subset has 2,500 samples for training/testing. It achieved 97.5% accuracy, 97.6% precision, and 97.9% recall using ReLU activation, outperforming ANN, SVM, and AdaBoost baselines. Standard metrics (accuracy, precision, recall, F-measure) were used. The study emphasizes handling imbalanced datasets through balancing techniques.</t>
  </si>
  <si>
    <t>This paper proposes a multi-modal ML framework that fuses GraphCodeBERT code representations with TF-IDF text features through gradient boosting and ordinal regression for CVSS severity prediction.</t>
  </si>
  <si>
    <t>It evaluates 36 model configurations on NVD CVEs with linked source code. The best configuration achieves 66.6% accuracy and 78% F1 for Critical class with MAE of 0.647. The Multi-modal fusion reduces critical miss rate by 45% compared to text only model.</t>
  </si>
  <si>
    <t>It uses two source such as CVE textual descriptions via TF-IDF and code level data via GraphCodeBERT on code commits and patch files.</t>
  </si>
  <si>
    <t>This paper proposes CIVS, a collective intelligence ensemble framework that fuses predictions from GPT-4 and fine tuned GPT-3.5-Turbo using weighted aggregation for automated CVSS labelling, without adding new trainable parameters to either model.</t>
  </si>
  <si>
    <t>It was evaluated on recent NVD records with 'what-if' scenario variations of CVE descriptions. CIVS reduces MSE by 10% and improves macro-F1 to 0.76 compared to individual GPT-4 and GPT-3.5 single-model baselines.</t>
  </si>
  <si>
    <t xml:space="preserve">This paper proposes KG4VA, a framework that constructs a vulnerability knowledge graph built from NLP element extraction that links CVEs using shared entities. It then uses this KG for similarity based vulnerability assessment matching a new vulnerability to similar past ones in the graph. This approach supports richer analysis in the Analyse phase compared to pure text-based methods. </t>
  </si>
  <si>
    <t>The approach was evaluated on two public datasets such as a manually labeled dataset and a real-world C/C++ vulnerability dataset. KG4VA achieved 3.27% to 10.83% accuracy improvement over baseline methods including BERT text-only. It was compared against state-of-the-art (SOTA) vulnerability assessment approaches.</t>
  </si>
  <si>
    <t>It uses NVD CVE descriptions and extracted vulnerability elements. These are used to build the knowledge graph with entities and relationships. This provides structural context and enables similarity reasoning, making the analysis more adaptive than using isolated descriptions.</t>
  </si>
  <si>
    <t>This paper proposes DeepCVA, a deep multi-task learning model that jointly predicts all CVSS v3 metric components from security relevant code commit representations. This study perform CVSS assessment at the commit level rather than CVE description level, enabling early assessment of vulnerabilities</t>
  </si>
  <si>
    <t xml:space="preserve">They evaluated on 1,229 real vulnerability commits from 246 open-source projects. It performed much better than other baselines. They used Matthews Correlation Coefficient as the main metric. </t>
  </si>
  <si>
    <t>It uses GitHub code commit data as main source. This includes commit messages and code changes as the intelligence source rather than CVE descriptions. Patch-related commit content provides structural vulnerability context independent of NVD.</t>
  </si>
  <si>
    <t>This paper proposes AutoVAS, a deep learning system for automated vulnerability analysis. It turns source code into embedding vectors using deep learning. The system detects vulnerabilities directly from code rather than CVE text.</t>
  </si>
  <si>
    <t>They tested AutoVAS on datasets from NVD and SARD. It achieved 96.11% F1-score, with very low false negative rate (3.62%) and false positive rate (1.88%). It performed better than other approaches. They also tested it on nine real open-source projects and found real vulnerabilities including zero-days.</t>
  </si>
  <si>
    <t xml:space="preserve">  X</t>
  </si>
  <si>
    <t>This paper proposes a decision tree model to simplify CVSS scoring. It reduces the number of vulnerability metrics by removing overlapping ones. The goal is to make scoring easier and reduce manual errors</t>
  </si>
  <si>
    <t>They tested the decision tree approach on CVSS data. The method helps lower scoring errors compared to using the full CVSS metrics. It was evaluated for consistency and accuracy in vulnerability assessment.</t>
  </si>
  <si>
    <t>This paper proposes a data mining framework for vulnerability analysis. It uses a Topically Supervised Evolution Model (TSEM) and diffusion-based storytelling to understand how vulnerabilities evolve over time. It also includes prediction models to forecast future vulnerabilities</t>
  </si>
  <si>
    <t xml:space="preserve">They tested the framework on data from the National Vulnerability Database (NVD). The models can discover hidden themes and evolutionary patterns in vulnerabilities. Experiments showed good accuracy in predicting vulnerabilities and their trends. </t>
  </si>
  <si>
    <t>This paper proposes ChatNVD, an LLM-powered tool for vulnerability assessment. It uses three models (GPT-4o Mini, LLaMA 3, and Gemini 1.5 Pro) to generate easy summaries and explanations from NVD data. The tool helps users understand vulnerabilities through natural conversation</t>
  </si>
  <si>
    <t>They tested the models on 125 CVE based questions. GPT-4o Mini performed best with over 92% accuracy and the lowest error rates. They compared the three LLMs on factual and contextual questions</t>
  </si>
  <si>
    <t>This paper proposes Expected Exploitability (EE), a time-varying metric for predicting the likelihood that a functional exploit will be developed. It supports risk-driven prioritization in the Analyze phase by continuously updating vulnerability risk as new post-disclosure information arrives. The approach moves beyond static one-time scoring toward adaptive, data-driven analysis using ML on evolving artifacts.</t>
  </si>
  <si>
    <t>It was evaluated on a large dataset of 103,137 NVD CVEs with time-aware data splits. It achieves strong performance AUC around 0.84 to 0.91 depending on time horizon and precision from 49% to 86% compared tp baselines against CVSS, EPSS, and social media classifiers. Evaluation uses temporal precision@k and ROC-AUC under realistic deployment conditions.</t>
  </si>
  <si>
    <t>It uses CVSS v3 vector components, CWE classification, CVE description length, PoC code availability indicators, vendor advisory reference counts, and NVD publication-delay timing as multi-signal temporal intelligence. Combines multiple open sources available at CVE disclosure time to predict future exploit development probability.</t>
  </si>
  <si>
    <t>This paper proposes SSVC, a decision-tree framework for the Analyze phase. Instead of using a single CVSS score, it uses a set of questions in a decision tree to decide the priority action for each stakeholder. It helps make vulnerability analysis more practical and context-aware rather than just giving a generic severity number.</t>
  </si>
  <si>
    <t xml:space="preserve">It was performed a small pilot study using vulnerabilities to test whether different analysts reach similar decisions using SSVC. The focus was mainly on checking if the method is easy to use and produces consistent results. </t>
  </si>
  <si>
    <t>SSVC uses many real-world contextual factors such as whether the vulnerability is already being exploited from CISA KEV and Exploit-DB, how easy it is to exploit automatically, technical impact, safety impact, and how widely the affected system is used in the organization. It also considers the specific role of the stakeholder when analyzing the vulnerability.</t>
  </si>
  <si>
    <t>This paper proposes SySeVR, a systematic framework that uses Syntax-based and Semantics-based Vulnerability Representations (SyVRs and SeVRs). It applies program slicing along with data and control flow analysis to generate rich code representations. These representations enable deep learning models (e.g., BLSTM, BGRU) to detect and classify multiple types of vulnerabilities directly from source code, making it highly suitable for the Analyze phase in MAPE-K systems.</t>
  </si>
  <si>
    <t>It was evaluated on a large custom dataset built from NVD and SARD, covering 126 CWE vulnerability types. The best models achieved strong F1-scores. It was compared against several baselines including VulDeePecker, Flawfinder, RATS, and Checkmarx. The framework was also tested on four real open-source projects and discovered 15 previously unreported vulnerabilities.</t>
  </si>
  <si>
    <t>It uses source code as intelligence, including program dependence graphs, control-flow and data-flow relationships, API calls, and syntactic patterns. It performs fine-grained analysis at the slice/function level and does not rely heavily on NVD text descriptions. It learns vulnerability patterns automatically from historical data across many CWE types.</t>
  </si>
  <si>
    <t>This paper proposes EVA-DSSM, an attention-based deep learning model that automatically links dark web exploit discussions to known CVEs. It also introduces a Device Vulnerability Severity Metric (DVSM) that combines CVE severity with real exploit availability timing.</t>
  </si>
  <si>
    <t>The model was evaluated on a large dataset of dark web exploits across multiple categories such as web, remote, local, DoS. It was tested using ranking metrics such as Precision. EVA-DSSM performed significantly better than several baselines including standard DSSM and TF-IDF models</t>
  </si>
  <si>
    <t>The source used is real exploit discussions collected from dark web hacker forums. It combines this with NVD/CVE metadata to create proactive threat intelligence. Important contextual factors include exploit post dates, semantic content of hacker discussions, and evidence of real-world exploitation attempts.</t>
  </si>
  <si>
    <t>This paper proposes DSec4IoT, a distributed MAPE-K framework for self-protective IoT devices. It distributes the Monitor-Analyze-Plan-Execute loop between a central managing server and resource-constrained IoT devices. In the Analyze phase, it uses Complex Event Processing (CEP) with filters, constraints, and ECA rules on the server to correlate events (e.g., port scans, anomalous traffic) for threat assessment and adaptive security decisions.</t>
  </si>
  <si>
    <t>The framework was evaluated through simulation of port scan attacks on distributed IoT devices. They measured detection latency, adaptation overhead, resource usage, and response effectiveness. Results were compared against non-adaptive baselines and centralized MAPE-K approaches, showing that DSec4IoT can effectively detect and mitigate attacks while running on constrained devices.</t>
  </si>
  <si>
    <t>It uses real time network monitoring data, port scan signals, intrusion detection events, and device resource metrics (CPU, memory) as key intelligence sources. The shared Knowledge Base stores filters, rules, attack patterns, and device context to support adaptive vulnerability/threat analysis.</t>
  </si>
  <si>
    <t>This paper evaluates empirical analysis of data quality issues across 4 major vulnerability datasets (NVD, BigVul, D2A Juliet, Devign). It identifies high noise rates with 20 to 71% inaccurate or mislabelled samples in real-world datasets and significant duplication rates. It propose data quality evaluation criteria (accuracy, uniqueness, consistency, completeness, currentness) and demonstrate how poor data quality leads to inflated or unreliable model performance in vulnerability prediction tasks.</t>
  </si>
  <si>
    <t>It uses NVD as the dominant source, along with BigVul, CVEfixes, D2A, and Devign. The study highlights how NVD labelling inconsistencies and other data quality problems directly affect the reliability of machine learning models used for severity scoring, and adaptive analysis systems.</t>
  </si>
  <si>
    <t>This paper proposes a transformer-based ranking pipeline using Sentence-BERT and rankT5 to automatically map unstructured CVE records to MITRE CWE weaknesses. It treats the problem as a ranking task to assist human-in-the-loop analysis. This technique reduces manual effort in the Analyse phase and produces structured weakness information that can feed into adaptive decision-making in self-adaptive systems.</t>
  </si>
  <si>
    <t>It was evaluated on a new manually annotated dataset of 4,012 CVE-CWE pairs. Models like fine-tuned Sentence-BERT and rankT5 were compared against baselines like BM25, BERT, and RoBERTa. It uses ranking metrics suitable for the task.</t>
  </si>
  <si>
    <t>It ues CVE textual descriptions alongside the MITRE CWE knowledge base as dual intelligence sources. ATT&amp;CK technique mapping provides structured attacker behavioural context that enriches CVSS severity with actual attack pattern intelligence acts as a key contextual signal for adaptive vulnerability analysis.</t>
  </si>
  <si>
    <t>This paper proposes VulChecker, a novel graph-based framework for the vulnerability analysis phase. It uses an enriched Program Dependence Graph (ePDG) generated via LLVM, vulnerability-specific backward program slicing, and a message-passing Graph Neural Network (Structure2Vec). The system detects vulnerabilities, classifies their CWE type, and localizes them to the exact instruction in the source code.</t>
  </si>
  <si>
    <t>The approach was evaluated on the Juliet Test Suite for five major CWEs and on 19 real-world C/C++ projects. It successfully detected 24 real CVEs, outperforming commercial SAST tools, and even discovered a new zero-day vulnerability. Key metrics include detection accuracy, localization precision, and false positive rate. A strong data augmentation strategy was used to improve model generalization on real code.</t>
  </si>
  <si>
    <t xml:space="preserve">This paper proposes the AQUA framework, a self-adaptive solution that combines QoS monitoring with vulnerability detection in microservice architectures. It uses a MAPE-K-inspired control loop where the Analyse phase jointly processes QoS signals and CVE vulnerability data to identify adaptation needs. The framework enables security-aware and quality-aware adaptation decisions, making vulnerability analysis a core part of the self-adaptation process rather than a separate activity. </t>
  </si>
  <si>
    <t xml:space="preserve">The framework was evaluated through a prototype implementation on microservice benchmark applications. It demonstrates that integrating QoS and vulnerability signals leads to better adaptation decisions compared to QoS-only or vulnerability-only approaches. </t>
  </si>
  <si>
    <t>The system utilises dual intelligence sources: live QoS monitoring data (response time) and external vulnerability feeds from CVE/NVD. The Knowledge Base stores vulnerability risk scores along with QoS thresholds and service dependency information.</t>
  </si>
  <si>
    <t>The paper proposes MAPE-SAC, a dedicated security assurance extension of the standard MAPE-K framework. It formally integrates Security Assurance Cases (SACs) into the Analyse phase, allowing the system to reason over security evidence, update assurance claims, and support adaptive decisions. This provides a structured framework for incorporating vulnerability and threat analysis directly into the Analyse component of self-adaptive systems.</t>
  </si>
  <si>
    <t xml:space="preserve">
CVE Severity Prediction from Vulnerability Description — A Deep Learning Approach (Manjunatha et al. (2024))</t>
  </si>
  <si>
    <t>Paper Name (Author, Year)</t>
  </si>
  <si>
    <t xml:space="preserve">
Multiclass Hybrid Approach to Estimating Software Vulnerability Vectors and Severity Score (Bilge &amp; Dumitras (2021))</t>
  </si>
  <si>
    <t xml:space="preserve">
Enhancing Vulnerability Prioritization: Data-Driven Exploit Predictions with Community-Driven Insights (Jacobs et al. (2023))</t>
  </si>
  <si>
    <t xml:space="preserve">
CVE2CWE: Automated Mapping of Software Vulnerabilities to Weaknesses (Albanese et al. (2024))</t>
  </si>
  <si>
    <t xml:space="preserve">
Automatic Software Vulnerability Assessment by Extracting Vulnerability Elements (Sun, Ye, Bo et al. (2023))</t>
  </si>
  <si>
    <t xml:space="preserve">
Automated CVE Analysis for Threat Prioritization and Impact Prediction (Aghaei et al. (2023))</t>
  </si>
  <si>
    <t xml:space="preserve">
A novel vulnerability severity assessment method for source code based on a graph neural network ((Chen et al. (2023))</t>
  </si>
  <si>
    <t xml:space="preserve">
Empowering cybersecurity analysis: Unifying CVE, CWE, and CPE through knowledge graphs (Li &amp; Chen (2025))</t>
  </si>
  <si>
    <t xml:space="preserve">
Longitudinal risk-based security assessment of docker software container images ((Mills and White (2023))</t>
  </si>
  <si>
    <t xml:space="preserve">
Enhance CVE Severity Prediction from Vulnerability Description with Auxiliary Sentence (Yang, He, Wu et al. (2025))</t>
  </si>
  <si>
    <t xml:space="preserve">
Predicting CVSS Base Metrics of Software Vulnerabilities Using MultiCNN ((Baccouche et al. (2024))</t>
  </si>
  <si>
    <t xml:space="preserve">
CVSS Base Score Prediction Using Optimized Machine Learning Scheme ((Kanakaris et al. (2023))</t>
  </si>
  <si>
    <t xml:space="preserve">
Automation of Vulnerability Classification from Description Using Machine Learning ((Aota, Kanehara, Murata et al. (2020))</t>
  </si>
  <si>
    <t xml:space="preserve">
Conflicting Scores, Confusing Signals: An Empirical Study of
Vulnerability Scoring Systems ((Koscinski et al. (2024))</t>
  </si>
  <si>
    <t xml:space="preserve">
Analysis of CVSS Vulnerability Base Scores in Context of Exploit Availability ((Walkowski et al. (2023))</t>
  </si>
  <si>
    <t xml:space="preserve">
Early and Realistic Exploitability Prediction ofJust-Disclosed Software Vulnerabilities: How Reliable Can It Be? ((Iannone et al. (2023))</t>
  </si>
  <si>
    <t xml:space="preserve">
Automated CVE Severity Prediction Using Deep Learning and Explainable AI (Yasin, Abu Al-Haija &amp; AbuHour (2026))</t>
  </si>
  <si>
    <t xml:space="preserve">
AI-Enabled Automated Common Vulnerability Scoring from CVE Descriptions (Zhang, Kumar, Pfahringer &amp; Bifet (2025))</t>
  </si>
  <si>
    <t xml:space="preserve">
Software Vulnerability Assessment and Classification Using ML, DL and Feature Selection (Hussein, Azmi &amp; Abas (2025))</t>
  </si>
  <si>
    <t xml:space="preserve">
Multi-Modal Machine Learning for Automated CVSS Severity Prediction (Lim &amp; Kim (2025))</t>
  </si>
  <si>
    <t xml:space="preserve">
CIVS: A Collective-Intelligence Ensemble for Automated Software Vulnerability Scoring (Mirtaheri, Shahbazian et al. (2025))</t>
  </si>
  <si>
    <t xml:space="preserve">
KG4VA: Constructing Vulnerability Knowledge Graph for Software Vulnerability Assessment (Ye, Sun, Bo et al. (2025))</t>
  </si>
  <si>
    <t xml:space="preserve">
DeepCVA: Automated Commit-Level Vulnerability Assessment with Deep Multi-Task Learning ( Le, Hin, Croft &amp; Babar (2021))</t>
  </si>
  <si>
    <t xml:space="preserve">
AutoVAS: An Automated Vulnerability Analysis System with Deep Learning (Jeon &amp; Kim (2021))</t>
  </si>
  <si>
    <t xml:space="preserve">
A CVSS-based Vulnerability Assessment Method for Reducing Scoring Error (Kai, Zheng, Shi &amp; Lu (2021))</t>
  </si>
  <si>
    <t xml:space="preserve">
A Vulnerability Analysis and Prediction Framework (Williams, Barranco et al. (2020))</t>
  </si>
  <si>
    <t xml:space="preserve">
ChatNVD: Advancing Cybersecurity Vulnerability Assessment with Large Language Models (Chopra, Ahmad, Goel &amp; Szabo (2026))</t>
  </si>
  <si>
    <t xml:space="preserve">Expected Exploitability: Predicting the Development of Functional Vulnerability Exploits  ( Suciu, Vikranth, Blaine &amp; Dumitraş (2022)) </t>
  </si>
  <si>
    <t xml:space="preserve">Prioritizing Vulnerability Response: A Stakeholder-Specific Vulnerability Categorization (SSVC)  (Spring, Hatleback, Householder, Manion &amp; Shick (2021)) </t>
  </si>
  <si>
    <t xml:space="preserve">SySeVR: A Framework for Using Deep Learning to Detect Software Vulnerabilities (Li, Zou, Xu, Chen, Zhu &amp; Jin (2021)) </t>
  </si>
  <si>
    <t>Linking Exploits from the Dark Web to Known Vulnerabilities for Proactive Cyber Threat Intelligence (Samtani, Chai &amp; Chen (2022))</t>
  </si>
  <si>
    <t xml:space="preserve">A Distributed MAPE-K Framework for Self-Protective IoT Devices (Riegler, Sametinger &amp; Vierhauser (2023)) </t>
  </si>
  <si>
    <t xml:space="preserve">Data Quality for Software Vulnerability Datasets (Croft, Babar &amp; Kholoosi (2023)) </t>
  </si>
  <si>
    <t>Automated Mapping of CVE Vulnerability Records to MITRE CWE Weaknesses (Haddad et al., (2023))</t>
  </si>
  <si>
    <t>VulChecker: Graph-based Vulnerability Localization in Source Code ((Mirsky et al., (2023))</t>
  </si>
  <si>
    <t xml:space="preserve">
Integrated QoS- and Vulnerability-driven Self-Adaptation for Microservice Architectures (Quin et al. (2023))</t>
  </si>
  <si>
    <t xml:space="preserve">
MAPE-K/MAPE-SAC: An Interaction Framework for Adaptive Systems with Security Assurance Cases (Gerasimou et al. (2021))</t>
  </si>
  <si>
    <t>CVSS-BERT: Explainable Natural Language Processing to Determine the Severity of a Computer Security Vulnerability from its Description ((Shahid and Debar, (2021))</t>
  </si>
  <si>
    <t xml:space="preserve">
Exploit Prediction Scoring System (EPSS): Original Framework (Jacobs, Romanosky et al. (2021))</t>
  </si>
  <si>
    <t>A Systematic Approach to Predict the Impact of Cybersecurity Vulnerabilities Using LLMs (A. M. Høst, P. Lison and L. Moonen (2025))</t>
  </si>
  <si>
    <t>RQ2: How is the approach evaluated in terms of dataset, metrics, baselines?</t>
  </si>
  <si>
    <t>RQ3: What intelligence sources or contextual factors, adaption mechanisms are used?</t>
  </si>
  <si>
    <t>The framework was evaluated through a case study on an autonomous robotic system facing security threats. It demonstrates how MAPE-SAC updates assurance cases in response to detected violations and triggers appropriate adaptations. Key metrics include assurance coverage, adaptation correctness, and runtime overhead of the interacting MAPE-K and MAPE-SAC loops.</t>
  </si>
  <si>
    <t>It utilises runtime security monitoring evidence, formal assurance goal structures, and environmental threat signals as primary intelligence sources. The Knowledge Base stores assurance claim hierarchies and security evidence, enabling explicit contextual reasoning about vulnerabilities and threats.</t>
  </si>
  <si>
    <t xml:space="preserve">
CVSS Scoring System Prediction Based on Open Source Intelligence Information Sources (Reuter (2023))</t>
  </si>
  <si>
    <t xml:space="preserve">
GreenBERT: A lightweight green transformer for automated prediction of software vulnerability scores (Soureshjani (2025))</t>
  </si>
  <si>
    <t xml:space="preserve">
Automated Vulnerability Score Prediction Through Lightweight Generative AI (Pugliese (2025))</t>
  </si>
  <si>
    <t xml:space="preserve">
Uncovering CWE-CVE-CPE Relations with Threat Knowledge Graphs (Shi et al. (2024))</t>
  </si>
  <si>
    <t>Tracing Vulnerabilities in Maven: A Study of CVE lifecycles and Dependency Networks (Yang-Smith &amp; Kula (2025))</t>
  </si>
  <si>
    <t xml:space="preserve">
System for Estimation of CVSS Severity Metrics Based on Text Mining Technology ((Ivanenko et al. (2021))</t>
  </si>
  <si>
    <t xml:space="preserve">
Predicting Severity and Exploitability of Vulnerability Reports Using CNNs (Okutan (2022))</t>
  </si>
  <si>
    <t>SAMVA: A Self-Adaptive Analysis Phase in Mape-K  Framework for Vulnerability Assessment | SLR Papers: 47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</si>
</sst>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Calibri"/>
      <family val="2"/>
      <scheme val="minor"/>
    </font>
    <font>
      <sz val="12"/>
      <color theme="1"/>
      <name val="Times New Roman"/>
      <family val="1"/>
    </font>
    <font>
      <b/>
      <sz val="12"/>
      <color theme="1"/>
      <name val="Times New Roman"/>
      <family val="1"/>
    </font>
    <font>
      <b/>
      <sz val="18"/>
      <color theme="4" tint="-0.499984740745262"/>
      <name val="Times New Roman"/>
      <family val="1"/>
    </font>
    <font>
      <sz val="14"/>
      <color theme="1"/>
      <name val="Times New Roman"/>
      <family val="1"/>
    </font>
    <font>
      <b/>
      <sz val="14"/>
      <color theme="1"/>
      <name val="Times New Roman"/>
      <family val="1"/>
    </font>
  </fonts>
  <fills count="2">
    <fill>
      <patternFill patternType="none"/>
    </fill>
    <fill>
      <patternFill patternType="gray125"/>
    </fill>
  </fills>
  <borders count="4">
    <border>
      <left/>
      <right/>
      <top/>
      <bottom/>
      <diagonal/>
    </border>
    <border>
      <left style="thin">
        <color rgb="FFBDC3C7"/>
      </left>
      <right style="thin">
        <color rgb="FFBDC3C7"/>
      </right>
      <top style="thin">
        <color rgb="FFBDC3C7"/>
      </top>
      <bottom style="thin">
        <color rgb="FFBDC3C7"/>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rgb="FFCCCCCC"/>
      </top>
      <bottom/>
      <diagonal/>
    </border>
  </borders>
  <cellStyleXfs count="1">
    <xf numFmtId="0" fontId="0" fillId="0" borderId="0"/>
  </cellStyleXfs>
  <cellXfs count="15">
    <xf numFmtId="0" fontId="0" fillId="0" borderId="0" xfId="0"/>
    <xf numFmtId="0" fontId="1" fillId="0" borderId="0" xfId="0" applyFont="1"/>
    <xf numFmtId="0" fontId="1" fillId="0" borderId="0" xfId="0" applyFont="1" applyAlignment="1">
      <alignment horizontal="center" vertical="center" wrapText="1"/>
    </xf>
    <xf numFmtId="0" fontId="2" fillId="0" borderId="1" xfId="0" applyFont="1" applyBorder="1" applyAlignment="1">
      <alignment horizontal="left" vertical="center" wrapText="1"/>
    </xf>
    <xf numFmtId="0" fontId="1" fillId="0" borderId="1" xfId="0" applyFont="1" applyBorder="1" applyAlignment="1">
      <alignment horizontal="left" vertical="center" wrapText="1"/>
    </xf>
    <xf numFmtId="0" fontId="1" fillId="0" borderId="1" xfId="0" applyFont="1" applyBorder="1" applyAlignment="1">
      <alignment horizontal="center" vertical="center" wrapText="1"/>
    </xf>
    <xf numFmtId="0" fontId="2" fillId="0" borderId="0" xfId="0" applyFont="1" applyAlignment="1">
      <alignment horizontal="left" vertical="center" wrapText="1"/>
    </xf>
    <xf numFmtId="0" fontId="1" fillId="0" borderId="0" xfId="0" applyFont="1" applyAlignment="1">
      <alignment horizontal="left" vertical="center" wrapText="1"/>
    </xf>
    <xf numFmtId="0" fontId="2" fillId="0" borderId="2" xfId="0" applyFont="1" applyBorder="1" applyAlignment="1">
      <alignment horizontal="left" vertical="center" wrapText="1"/>
    </xf>
    <xf numFmtId="0" fontId="1" fillId="0" borderId="2" xfId="0" applyFont="1" applyBorder="1" applyAlignment="1">
      <alignment horizontal="left" vertical="center" wrapText="1"/>
    </xf>
    <xf numFmtId="0" fontId="2" fillId="0" borderId="3" xfId="0" applyFont="1" applyBorder="1" applyAlignment="1">
      <alignment horizontal="left" vertical="center" wrapText="1"/>
    </xf>
    <xf numFmtId="0" fontId="1" fillId="0" borderId="3" xfId="0" applyFont="1" applyBorder="1" applyAlignment="1">
      <alignment horizontal="left" vertical="center" wrapText="1"/>
    </xf>
    <xf numFmtId="0" fontId="4" fillId="0" borderId="0" xfId="0" applyFont="1"/>
    <xf numFmtId="0" fontId="5" fillId="0" borderId="1" xfId="0" applyFont="1" applyBorder="1" applyAlignment="1">
      <alignment horizontal="center" vertical="center" wrapText="1"/>
    </xf>
    <xf numFmtId="0" fontId="3" fillId="0" borderId="0" xfId="0" applyFont="1" applyAlignment="1">
      <alignment horizontal="center"/>
    </xf>
  </cellXfs>
  <cellStyles count="1">
    <cellStyle name="Normal" xfId="0" builtinId="0"/>
  </cellStyles>
  <dxfs count="11">
    <dxf>
      <font>
        <strike val="0"/>
        <outline val="0"/>
        <shadow val="0"/>
        <u val="none"/>
        <vertAlign val="baseline"/>
        <sz val="12"/>
        <color theme="1"/>
        <name val="Times New Roman"/>
        <family val="1"/>
        <scheme val="none"/>
      </font>
      <fill>
        <patternFill patternType="none">
          <fgColor indexed="64"/>
          <bgColor auto="1"/>
        </patternFill>
      </fill>
      <alignment horizontal="left" vertical="center" textRotation="0" wrapText="1" indent="0" justifyLastLine="0" shrinkToFit="0" readingOrder="0"/>
    </dxf>
    <dxf>
      <font>
        <b val="0"/>
        <i val="0"/>
        <strike val="0"/>
        <condense val="0"/>
        <extend val="0"/>
        <outline val="0"/>
        <shadow val="0"/>
        <u val="none"/>
        <vertAlign val="baseline"/>
        <sz val="12"/>
        <color theme="1"/>
        <name val="Calibri"/>
        <family val="2"/>
        <scheme val="minor"/>
      </font>
      <fill>
        <patternFill patternType="none">
          <fgColor indexed="64"/>
          <bgColor indexed="65"/>
        </patternFill>
      </fill>
    </dxf>
    <dxf>
      <font>
        <strike val="0"/>
        <outline val="0"/>
        <shadow val="0"/>
        <u val="none"/>
        <vertAlign val="baseline"/>
        <sz val="12"/>
        <color theme="1"/>
        <name val="Times New Roman"/>
        <family val="1"/>
        <scheme val="none"/>
      </font>
      <fill>
        <patternFill patternType="none">
          <fgColor indexed="64"/>
          <bgColor auto="1"/>
        </patternFill>
      </fill>
      <alignment horizontal="left" vertical="center" textRotation="0" wrapText="1" indent="0" justifyLastLine="0" shrinkToFit="0" readingOrder="0"/>
    </dxf>
    <dxf>
      <font>
        <b val="0"/>
        <i val="0"/>
        <strike val="0"/>
        <condense val="0"/>
        <extend val="0"/>
        <outline val="0"/>
        <shadow val="0"/>
        <u val="none"/>
        <vertAlign val="baseline"/>
        <sz val="12"/>
        <color theme="1"/>
        <name val="Calibri"/>
        <family val="2"/>
        <scheme val="minor"/>
      </font>
      <fill>
        <patternFill patternType="none">
          <fgColor indexed="64"/>
          <bgColor indexed="65"/>
        </patternFill>
      </fill>
    </dxf>
    <dxf>
      <font>
        <strike val="0"/>
        <outline val="0"/>
        <shadow val="0"/>
        <u val="none"/>
        <vertAlign val="baseline"/>
        <sz val="12"/>
        <color theme="1"/>
        <name val="Times New Roman"/>
        <family val="1"/>
        <scheme val="none"/>
      </font>
      <fill>
        <patternFill patternType="none">
          <fgColor indexed="64"/>
          <bgColor auto="1"/>
        </patternFill>
      </fill>
      <alignment horizontal="left" vertical="center" textRotation="0" wrapText="1" indent="0" justifyLastLine="0" shrinkToFit="0" readingOrder="0"/>
    </dxf>
    <dxf>
      <font>
        <b val="0"/>
        <i val="0"/>
        <strike val="0"/>
        <condense val="0"/>
        <extend val="0"/>
        <outline val="0"/>
        <shadow val="0"/>
        <u val="none"/>
        <vertAlign val="baseline"/>
        <sz val="12"/>
        <color theme="1"/>
        <name val="Calibri"/>
        <family val="2"/>
        <scheme val="minor"/>
      </font>
      <fill>
        <patternFill patternType="none">
          <fgColor indexed="64"/>
          <bgColor indexed="65"/>
        </patternFill>
      </fill>
    </dxf>
    <dxf>
      <font>
        <b/>
        <i val="0"/>
        <strike val="0"/>
        <condense val="0"/>
        <extend val="0"/>
        <outline val="0"/>
        <shadow val="0"/>
        <u val="none"/>
        <vertAlign val="baseline"/>
        <sz val="12"/>
        <color theme="1"/>
        <name val="Times New Roman"/>
        <family val="1"/>
        <scheme val="none"/>
      </font>
      <fill>
        <patternFill patternType="none">
          <fgColor indexed="64"/>
          <bgColor auto="1"/>
        </patternFill>
      </fill>
      <alignment horizontal="left" vertical="center" textRotation="0" wrapText="1" indent="0" justifyLastLine="0" shrinkToFit="0" readingOrder="0"/>
    </dxf>
    <dxf>
      <font>
        <b/>
        <i val="0"/>
        <strike val="0"/>
        <condense val="0"/>
        <extend val="0"/>
        <outline val="0"/>
        <shadow val="0"/>
        <u val="none"/>
        <vertAlign val="baseline"/>
        <sz val="14"/>
        <color theme="1"/>
        <name val="Arial"/>
        <family val="2"/>
        <scheme val="none"/>
      </font>
      <fill>
        <patternFill patternType="none">
          <fgColor indexed="64"/>
          <bgColor indexed="65"/>
        </patternFill>
      </fill>
      <alignment horizontal="center" vertical="center" textRotation="0" wrapText="0" indent="0" justifyLastLine="0" shrinkToFit="0" readingOrder="0"/>
    </dxf>
    <dxf>
      <border outline="0">
        <bottom style="thin">
          <color rgb="FFCCCCCC"/>
        </bottom>
      </border>
    </dxf>
    <dxf>
      <font>
        <strike val="0"/>
        <outline val="0"/>
        <shadow val="0"/>
        <u val="none"/>
        <vertAlign val="baseline"/>
        <sz val="12"/>
        <color theme="1"/>
        <name val="Times New Roman"/>
        <family val="1"/>
        <scheme val="none"/>
      </font>
      <fill>
        <patternFill patternType="none">
          <fgColor indexed="64"/>
          <bgColor auto="1"/>
        </patternFill>
      </fill>
      <alignment horizontal="left"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none">
          <fgColor indexed="64"/>
          <bgColor auto="1"/>
        </patternFill>
      </fill>
      <alignment horizontal="left"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D00197C-6A2B-1045-BE50-E08A60373BFE}" name="Table1" displayName="Table1" ref="B2:E49" headerRowCount="0" totalsRowShown="0" headerRowDxfId="10" dataDxfId="9" tableBorderDxfId="8">
  <tableColumns count="4">
    <tableColumn id="1" xr3:uid="{105FBF18-048C-4E49-BA63-8DFDD4353524}" name="Column1" headerRowDxfId="7" dataDxfId="6"/>
    <tableColumn id="2" xr3:uid="{716BE021-07BD-DE47-908C-7BE9AE206737}" name="Column2" headerRowDxfId="5" dataDxfId="4"/>
    <tableColumn id="3" xr3:uid="{A1A1FBE7-99A1-BE49-AE2D-1D0B5C879701}" name="Column3" headerRowDxfId="3" dataDxfId="2"/>
    <tableColumn id="4" xr3:uid="{38DAA05C-E2A6-614F-A81E-872AB41E9D28}" name="Column4" headerRowDxfId="1" dataDxfId="0"/>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48811F-77E3-7D49-8B6C-31A4B41E224B}">
  <dimension ref="A1:E49"/>
  <sheetViews>
    <sheetView tabSelected="1" workbookViewId="0">
      <selection activeCell="B1" sqref="B1:E1"/>
    </sheetView>
  </sheetViews>
  <sheetFormatPr baseColWidth="10" defaultRowHeight="16" x14ac:dyDescent="0.2"/>
  <cols>
    <col min="1" max="1" width="10.83203125" style="1"/>
    <col min="2" max="2" width="38.1640625" style="1" customWidth="1"/>
    <col min="3" max="3" width="57.33203125" style="1" customWidth="1"/>
    <col min="4" max="4" width="51.1640625" style="1" customWidth="1"/>
    <col min="5" max="5" width="52.6640625" style="1" customWidth="1"/>
    <col min="6" max="16384" width="10.83203125" style="1"/>
  </cols>
  <sheetData>
    <row r="1" spans="1:5" ht="23" customHeight="1" x14ac:dyDescent="0.25">
      <c r="B1" s="14" t="s">
        <v>166</v>
      </c>
      <c r="C1" s="14"/>
      <c r="D1" s="14"/>
      <c r="E1" s="14"/>
    </row>
    <row r="2" spans="1:5" s="12" customFormat="1" ht="38" x14ac:dyDescent="0.2">
      <c r="B2" s="13" t="s">
        <v>115</v>
      </c>
      <c r="C2" s="13" t="s">
        <v>0</v>
      </c>
      <c r="D2" s="13" t="s">
        <v>155</v>
      </c>
      <c r="E2" s="13" t="s">
        <v>156</v>
      </c>
    </row>
    <row r="3" spans="1:5" ht="119" x14ac:dyDescent="0.2">
      <c r="A3" s="1">
        <f>ROW()-2</f>
        <v>1</v>
      </c>
      <c r="B3" s="3" t="s">
        <v>114</v>
      </c>
      <c r="C3" s="4" t="s">
        <v>1</v>
      </c>
      <c r="D3" s="4" t="s">
        <v>2</v>
      </c>
      <c r="E3" s="5" t="s">
        <v>3</v>
      </c>
    </row>
    <row r="4" spans="1:5" ht="102" x14ac:dyDescent="0.2">
      <c r="A4" s="1">
        <f t="shared" ref="A4:A49" si="0">ROW()-2</f>
        <v>2</v>
      </c>
      <c r="B4" s="3" t="s">
        <v>116</v>
      </c>
      <c r="C4" s="4" t="s">
        <v>4</v>
      </c>
      <c r="D4" s="4" t="s">
        <v>5</v>
      </c>
      <c r="E4" s="5" t="s">
        <v>3</v>
      </c>
    </row>
    <row r="5" spans="1:5" ht="119" x14ac:dyDescent="0.2">
      <c r="A5" s="1">
        <f t="shared" si="0"/>
        <v>3</v>
      </c>
      <c r="B5" s="3" t="s">
        <v>117</v>
      </c>
      <c r="C5" s="4" t="s">
        <v>6</v>
      </c>
      <c r="D5" s="4" t="s">
        <v>7</v>
      </c>
      <c r="E5" s="4" t="s">
        <v>8</v>
      </c>
    </row>
    <row r="6" spans="1:5" ht="119" x14ac:dyDescent="0.2">
      <c r="A6" s="1">
        <f t="shared" si="0"/>
        <v>4</v>
      </c>
      <c r="B6" s="3" t="s">
        <v>159</v>
      </c>
      <c r="C6" s="4" t="s">
        <v>9</v>
      </c>
      <c r="D6" s="4" t="s">
        <v>10</v>
      </c>
      <c r="E6" s="4" t="s">
        <v>11</v>
      </c>
    </row>
    <row r="7" spans="1:5" ht="102" x14ac:dyDescent="0.2">
      <c r="A7" s="1">
        <f t="shared" si="0"/>
        <v>5</v>
      </c>
      <c r="B7" s="3" t="s">
        <v>118</v>
      </c>
      <c r="C7" s="4" t="s">
        <v>12</v>
      </c>
      <c r="D7" s="5" t="s">
        <v>3</v>
      </c>
      <c r="E7" s="4" t="s">
        <v>13</v>
      </c>
    </row>
    <row r="8" spans="1:5" ht="102" x14ac:dyDescent="0.2">
      <c r="A8" s="1">
        <f t="shared" si="0"/>
        <v>6</v>
      </c>
      <c r="B8" s="3" t="s">
        <v>160</v>
      </c>
      <c r="C8" s="4" t="s">
        <v>14</v>
      </c>
      <c r="D8" s="4" t="s">
        <v>15</v>
      </c>
      <c r="E8" s="5" t="s">
        <v>3</v>
      </c>
    </row>
    <row r="9" spans="1:5" ht="119" x14ac:dyDescent="0.2">
      <c r="A9" s="1">
        <f t="shared" si="0"/>
        <v>7</v>
      </c>
      <c r="B9" s="3" t="s">
        <v>161</v>
      </c>
      <c r="C9" s="4" t="s">
        <v>16</v>
      </c>
      <c r="D9" s="4" t="s">
        <v>17</v>
      </c>
      <c r="E9" s="5" t="s">
        <v>18</v>
      </c>
    </row>
    <row r="10" spans="1:5" ht="102" x14ac:dyDescent="0.2">
      <c r="A10" s="1">
        <f t="shared" si="0"/>
        <v>8</v>
      </c>
      <c r="B10" s="3" t="s">
        <v>119</v>
      </c>
      <c r="C10" s="4" t="s">
        <v>19</v>
      </c>
      <c r="D10" s="4" t="s">
        <v>20</v>
      </c>
      <c r="E10" s="5" t="s">
        <v>18</v>
      </c>
    </row>
    <row r="11" spans="1:5" ht="68" x14ac:dyDescent="0.2">
      <c r="A11" s="1">
        <f t="shared" si="0"/>
        <v>9</v>
      </c>
      <c r="B11" s="3" t="s">
        <v>120</v>
      </c>
      <c r="C11" s="4" t="s">
        <v>21</v>
      </c>
      <c r="D11" s="4" t="s">
        <v>22</v>
      </c>
      <c r="E11" s="4" t="s">
        <v>23</v>
      </c>
    </row>
    <row r="12" spans="1:5" ht="85" x14ac:dyDescent="0.2">
      <c r="A12" s="1">
        <f t="shared" si="0"/>
        <v>10</v>
      </c>
      <c r="B12" s="3" t="s">
        <v>121</v>
      </c>
      <c r="C12" s="4" t="s">
        <v>24</v>
      </c>
      <c r="D12" s="4" t="s">
        <v>25</v>
      </c>
      <c r="E12" s="5" t="s">
        <v>18</v>
      </c>
    </row>
    <row r="13" spans="1:5" ht="85" x14ac:dyDescent="0.2">
      <c r="A13" s="1">
        <f t="shared" si="0"/>
        <v>11</v>
      </c>
      <c r="B13" s="3" t="s">
        <v>162</v>
      </c>
      <c r="C13" s="4" t="s">
        <v>26</v>
      </c>
      <c r="D13" s="4" t="s">
        <v>27</v>
      </c>
      <c r="E13" s="4" t="s">
        <v>28</v>
      </c>
    </row>
    <row r="14" spans="1:5" ht="68" x14ac:dyDescent="0.2">
      <c r="A14" s="1">
        <f t="shared" si="0"/>
        <v>12</v>
      </c>
      <c r="B14" s="3" t="s">
        <v>122</v>
      </c>
      <c r="C14" s="4" t="s">
        <v>29</v>
      </c>
      <c r="D14" s="4" t="s">
        <v>30</v>
      </c>
      <c r="E14" s="4" t="s">
        <v>31</v>
      </c>
    </row>
    <row r="15" spans="1:5" ht="68" x14ac:dyDescent="0.2">
      <c r="A15" s="1">
        <f t="shared" si="0"/>
        <v>13</v>
      </c>
      <c r="B15" s="3" t="s">
        <v>123</v>
      </c>
      <c r="C15" s="5" t="s">
        <v>3</v>
      </c>
      <c r="D15" s="4" t="s">
        <v>32</v>
      </c>
      <c r="E15" s="4" t="s">
        <v>33</v>
      </c>
    </row>
    <row r="16" spans="1:5" ht="85" x14ac:dyDescent="0.2">
      <c r="A16" s="1">
        <f t="shared" si="0"/>
        <v>14</v>
      </c>
      <c r="B16" s="3" t="s">
        <v>163</v>
      </c>
      <c r="C16" s="5" t="s">
        <v>18</v>
      </c>
      <c r="D16" s="4" t="s">
        <v>34</v>
      </c>
      <c r="E16" s="4" t="s">
        <v>35</v>
      </c>
    </row>
    <row r="17" spans="1:5" ht="85" x14ac:dyDescent="0.2">
      <c r="A17" s="1">
        <f t="shared" si="0"/>
        <v>15</v>
      </c>
      <c r="B17" s="3" t="s">
        <v>164</v>
      </c>
      <c r="C17" s="4" t="s">
        <v>36</v>
      </c>
      <c r="D17" s="4" t="s">
        <v>37</v>
      </c>
      <c r="E17" s="5" t="s">
        <v>18</v>
      </c>
    </row>
    <row r="18" spans="1:5" ht="102" x14ac:dyDescent="0.2">
      <c r="A18" s="1">
        <f t="shared" si="0"/>
        <v>16</v>
      </c>
      <c r="B18" s="3" t="s">
        <v>165</v>
      </c>
      <c r="C18" s="4" t="s">
        <v>38</v>
      </c>
      <c r="D18" s="4" t="s">
        <v>39</v>
      </c>
      <c r="E18" s="4" t="s">
        <v>40</v>
      </c>
    </row>
    <row r="19" spans="1:5" ht="119" x14ac:dyDescent="0.2">
      <c r="A19" s="1">
        <f t="shared" si="0"/>
        <v>17</v>
      </c>
      <c r="B19" s="3" t="s">
        <v>152</v>
      </c>
      <c r="C19" s="4" t="s">
        <v>41</v>
      </c>
      <c r="D19" s="4" t="s">
        <v>42</v>
      </c>
      <c r="E19" s="5" t="s">
        <v>18</v>
      </c>
    </row>
    <row r="20" spans="1:5" ht="85" x14ac:dyDescent="0.2">
      <c r="A20" s="1">
        <f t="shared" si="0"/>
        <v>18</v>
      </c>
      <c r="B20" s="3" t="s">
        <v>124</v>
      </c>
      <c r="C20" s="4" t="s">
        <v>43</v>
      </c>
      <c r="D20" s="4" t="s">
        <v>44</v>
      </c>
      <c r="E20" s="5" t="s">
        <v>3</v>
      </c>
    </row>
    <row r="21" spans="1:5" ht="85" x14ac:dyDescent="0.2">
      <c r="A21" s="1">
        <f t="shared" si="0"/>
        <v>19</v>
      </c>
      <c r="B21" s="3" t="s">
        <v>125</v>
      </c>
      <c r="C21" s="4" t="s">
        <v>45</v>
      </c>
      <c r="D21" s="4" t="s">
        <v>46</v>
      </c>
      <c r="E21" s="5" t="s">
        <v>18</v>
      </c>
    </row>
    <row r="22" spans="1:5" ht="102" x14ac:dyDescent="0.2">
      <c r="A22" s="1">
        <f t="shared" si="0"/>
        <v>20</v>
      </c>
      <c r="B22" s="3" t="s">
        <v>126</v>
      </c>
      <c r="C22" s="4" t="s">
        <v>47</v>
      </c>
      <c r="D22" s="4" t="s">
        <v>48</v>
      </c>
      <c r="E22" s="5" t="s">
        <v>18</v>
      </c>
    </row>
    <row r="23" spans="1:5" ht="102" x14ac:dyDescent="0.2">
      <c r="A23" s="1">
        <f t="shared" si="0"/>
        <v>21</v>
      </c>
      <c r="B23" s="3" t="s">
        <v>127</v>
      </c>
      <c r="C23" s="4" t="s">
        <v>49</v>
      </c>
      <c r="D23" s="4" t="s">
        <v>50</v>
      </c>
      <c r="E23" s="5" t="s">
        <v>3</v>
      </c>
    </row>
    <row r="24" spans="1:5" ht="85" x14ac:dyDescent="0.2">
      <c r="A24" s="1">
        <f t="shared" si="0"/>
        <v>22</v>
      </c>
      <c r="B24" s="3" t="s">
        <v>128</v>
      </c>
      <c r="C24" s="5" t="s">
        <v>18</v>
      </c>
      <c r="D24" s="4" t="s">
        <v>51</v>
      </c>
      <c r="E24" s="4" t="s">
        <v>52</v>
      </c>
    </row>
    <row r="25" spans="1:5" ht="102" x14ac:dyDescent="0.2">
      <c r="A25" s="1">
        <f t="shared" si="0"/>
        <v>23</v>
      </c>
      <c r="B25" s="3" t="s">
        <v>129</v>
      </c>
      <c r="C25" s="5" t="s">
        <v>18</v>
      </c>
      <c r="D25" s="4" t="s">
        <v>53</v>
      </c>
      <c r="E25" s="4" t="s">
        <v>54</v>
      </c>
    </row>
    <row r="26" spans="1:5" ht="136" x14ac:dyDescent="0.2">
      <c r="A26" s="1">
        <f t="shared" si="0"/>
        <v>24</v>
      </c>
      <c r="B26" s="3" t="s">
        <v>130</v>
      </c>
      <c r="C26" s="5" t="s">
        <v>18</v>
      </c>
      <c r="D26" s="4" t="s">
        <v>55</v>
      </c>
      <c r="E26" s="4" t="s">
        <v>56</v>
      </c>
    </row>
    <row r="27" spans="1:5" ht="102" x14ac:dyDescent="0.2">
      <c r="A27" s="1">
        <f t="shared" si="0"/>
        <v>25</v>
      </c>
      <c r="B27" s="3" t="s">
        <v>153</v>
      </c>
      <c r="C27" s="5" t="s">
        <v>18</v>
      </c>
      <c r="D27" s="4" t="s">
        <v>57</v>
      </c>
      <c r="E27" s="4" t="s">
        <v>58</v>
      </c>
    </row>
    <row r="28" spans="1:5" ht="102" x14ac:dyDescent="0.2">
      <c r="A28" s="1">
        <f t="shared" si="0"/>
        <v>26</v>
      </c>
      <c r="B28" s="3" t="s">
        <v>154</v>
      </c>
      <c r="C28" s="4" t="s">
        <v>59</v>
      </c>
      <c r="D28" s="4" t="s">
        <v>60</v>
      </c>
      <c r="E28" s="4" t="s">
        <v>61</v>
      </c>
    </row>
    <row r="29" spans="1:5" ht="136" x14ac:dyDescent="0.2">
      <c r="A29" s="1">
        <f t="shared" si="0"/>
        <v>27</v>
      </c>
      <c r="B29" s="3" t="s">
        <v>131</v>
      </c>
      <c r="C29" s="4" t="s">
        <v>62</v>
      </c>
      <c r="D29" s="4" t="s">
        <v>63</v>
      </c>
      <c r="E29" s="5" t="s">
        <v>18</v>
      </c>
    </row>
    <row r="30" spans="1:5" ht="136" x14ac:dyDescent="0.2">
      <c r="A30" s="1">
        <f t="shared" si="0"/>
        <v>28</v>
      </c>
      <c r="B30" s="3" t="s">
        <v>132</v>
      </c>
      <c r="C30" s="4" t="s">
        <v>64</v>
      </c>
      <c r="D30" s="4" t="s">
        <v>65</v>
      </c>
      <c r="E30" s="5" t="s">
        <v>18</v>
      </c>
    </row>
    <row r="31" spans="1:5" ht="153" x14ac:dyDescent="0.2">
      <c r="A31" s="1">
        <f t="shared" si="0"/>
        <v>29</v>
      </c>
      <c r="B31" s="3" t="s">
        <v>133</v>
      </c>
      <c r="C31" s="4" t="s">
        <v>66</v>
      </c>
      <c r="D31" s="4" t="s">
        <v>67</v>
      </c>
      <c r="E31" s="5" t="s">
        <v>18</v>
      </c>
    </row>
    <row r="32" spans="1:5" ht="85" x14ac:dyDescent="0.2">
      <c r="A32" s="1">
        <f t="shared" si="0"/>
        <v>30</v>
      </c>
      <c r="B32" s="3" t="s">
        <v>134</v>
      </c>
      <c r="C32" s="4" t="s">
        <v>68</v>
      </c>
      <c r="D32" s="4" t="s">
        <v>69</v>
      </c>
      <c r="E32" s="4" t="s">
        <v>70</v>
      </c>
    </row>
    <row r="33" spans="1:5" ht="85" x14ac:dyDescent="0.2">
      <c r="A33" s="1">
        <f t="shared" si="0"/>
        <v>31</v>
      </c>
      <c r="B33" s="3" t="s">
        <v>135</v>
      </c>
      <c r="C33" s="4" t="s">
        <v>71</v>
      </c>
      <c r="D33" s="4" t="s">
        <v>72</v>
      </c>
      <c r="E33" s="5" t="s">
        <v>18</v>
      </c>
    </row>
    <row r="34" spans="1:5" ht="102" x14ac:dyDescent="0.2">
      <c r="A34" s="1">
        <f t="shared" si="0"/>
        <v>32</v>
      </c>
      <c r="B34" s="3" t="s">
        <v>136</v>
      </c>
      <c r="C34" s="4" t="s">
        <v>73</v>
      </c>
      <c r="D34" s="4" t="s">
        <v>74</v>
      </c>
      <c r="E34" s="4" t="s">
        <v>75</v>
      </c>
    </row>
    <row r="35" spans="1:5" ht="85" x14ac:dyDescent="0.2">
      <c r="A35" s="1">
        <f t="shared" si="0"/>
        <v>33</v>
      </c>
      <c r="B35" s="3" t="s">
        <v>137</v>
      </c>
      <c r="C35" s="4" t="s">
        <v>76</v>
      </c>
      <c r="D35" s="4" t="s">
        <v>77</v>
      </c>
      <c r="E35" s="4" t="s">
        <v>78</v>
      </c>
    </row>
    <row r="36" spans="1:5" ht="102" x14ac:dyDescent="0.2">
      <c r="A36" s="1">
        <f t="shared" si="0"/>
        <v>34</v>
      </c>
      <c r="B36" s="3" t="s">
        <v>138</v>
      </c>
      <c r="C36" s="4" t="s">
        <v>79</v>
      </c>
      <c r="D36" s="4" t="s">
        <v>80</v>
      </c>
      <c r="E36" s="5" t="s">
        <v>81</v>
      </c>
    </row>
    <row r="37" spans="1:5" ht="68" x14ac:dyDescent="0.2">
      <c r="A37" s="1">
        <f t="shared" si="0"/>
        <v>35</v>
      </c>
      <c r="B37" s="3" t="s">
        <v>139</v>
      </c>
      <c r="C37" s="4" t="s">
        <v>82</v>
      </c>
      <c r="D37" s="4" t="s">
        <v>83</v>
      </c>
      <c r="E37" s="5" t="s">
        <v>18</v>
      </c>
    </row>
    <row r="38" spans="1:5" ht="85" x14ac:dyDescent="0.2">
      <c r="A38" s="1">
        <f t="shared" si="0"/>
        <v>36</v>
      </c>
      <c r="B38" s="3" t="s">
        <v>140</v>
      </c>
      <c r="C38" s="4" t="s">
        <v>84</v>
      </c>
      <c r="D38" s="4" t="s">
        <v>85</v>
      </c>
      <c r="E38" s="5" t="s">
        <v>18</v>
      </c>
    </row>
    <row r="39" spans="1:5" ht="85" x14ac:dyDescent="0.2">
      <c r="A39" s="1">
        <f t="shared" si="0"/>
        <v>37</v>
      </c>
      <c r="B39" s="3" t="s">
        <v>141</v>
      </c>
      <c r="C39" s="4" t="s">
        <v>86</v>
      </c>
      <c r="D39" s="4" t="s">
        <v>87</v>
      </c>
      <c r="E39" s="5" t="s">
        <v>18</v>
      </c>
    </row>
    <row r="40" spans="1:5" ht="124" customHeight="1" x14ac:dyDescent="0.2">
      <c r="A40" s="1">
        <f t="shared" si="0"/>
        <v>38</v>
      </c>
      <c r="B40" s="6" t="s">
        <v>142</v>
      </c>
      <c r="C40" s="7" t="s">
        <v>88</v>
      </c>
      <c r="D40" s="7" t="s">
        <v>89</v>
      </c>
      <c r="E40" s="7" t="s">
        <v>90</v>
      </c>
    </row>
    <row r="41" spans="1:5" ht="102" x14ac:dyDescent="0.2">
      <c r="A41" s="1">
        <f t="shared" si="0"/>
        <v>39</v>
      </c>
      <c r="B41" s="6" t="s">
        <v>143</v>
      </c>
      <c r="C41" s="7" t="s">
        <v>91</v>
      </c>
      <c r="D41" s="7" t="s">
        <v>92</v>
      </c>
      <c r="E41" s="7" t="s">
        <v>93</v>
      </c>
    </row>
    <row r="42" spans="1:5" ht="139" customHeight="1" x14ac:dyDescent="0.2">
      <c r="A42" s="1">
        <f t="shared" si="0"/>
        <v>40</v>
      </c>
      <c r="B42" s="6" t="s">
        <v>144</v>
      </c>
      <c r="C42" s="7" t="s">
        <v>94</v>
      </c>
      <c r="D42" s="7" t="s">
        <v>95</v>
      </c>
      <c r="E42" s="7" t="s">
        <v>96</v>
      </c>
    </row>
    <row r="43" spans="1:5" ht="85" x14ac:dyDescent="0.2">
      <c r="A43" s="1">
        <f t="shared" si="0"/>
        <v>41</v>
      </c>
      <c r="B43" s="6" t="s">
        <v>145</v>
      </c>
      <c r="C43" s="7" t="s">
        <v>97</v>
      </c>
      <c r="D43" s="7" t="s">
        <v>98</v>
      </c>
      <c r="E43" s="7" t="s">
        <v>99</v>
      </c>
    </row>
    <row r="44" spans="1:5" ht="119" customHeight="1" x14ac:dyDescent="0.2">
      <c r="A44" s="1">
        <f t="shared" si="0"/>
        <v>42</v>
      </c>
      <c r="B44" s="6" t="s">
        <v>146</v>
      </c>
      <c r="C44" s="7" t="s">
        <v>100</v>
      </c>
      <c r="D44" s="7" t="s">
        <v>101</v>
      </c>
      <c r="E44" s="7" t="s">
        <v>102</v>
      </c>
    </row>
    <row r="45" spans="1:5" ht="161" customHeight="1" x14ac:dyDescent="0.2">
      <c r="A45" s="1">
        <f t="shared" si="0"/>
        <v>43</v>
      </c>
      <c r="B45" s="6" t="s">
        <v>147</v>
      </c>
      <c r="C45" s="2" t="s">
        <v>18</v>
      </c>
      <c r="D45" s="7" t="s">
        <v>103</v>
      </c>
      <c r="E45" s="7" t="s">
        <v>104</v>
      </c>
    </row>
    <row r="46" spans="1:5" ht="119" x14ac:dyDescent="0.2">
      <c r="A46" s="1">
        <f t="shared" si="0"/>
        <v>44</v>
      </c>
      <c r="B46" s="6" t="s">
        <v>148</v>
      </c>
      <c r="C46" s="7" t="s">
        <v>105</v>
      </c>
      <c r="D46" s="7" t="s">
        <v>106</v>
      </c>
      <c r="E46" s="7" t="s">
        <v>107</v>
      </c>
    </row>
    <row r="47" spans="1:5" ht="130" customHeight="1" x14ac:dyDescent="0.2">
      <c r="A47" s="1">
        <f t="shared" si="0"/>
        <v>45</v>
      </c>
      <c r="B47" s="6" t="s">
        <v>149</v>
      </c>
      <c r="C47" s="7" t="s">
        <v>108</v>
      </c>
      <c r="D47" s="7" t="s">
        <v>109</v>
      </c>
      <c r="E47" s="2" t="s">
        <v>3</v>
      </c>
    </row>
    <row r="48" spans="1:5" ht="136" x14ac:dyDescent="0.2">
      <c r="A48" s="1">
        <f t="shared" si="0"/>
        <v>46</v>
      </c>
      <c r="B48" s="8" t="s">
        <v>150</v>
      </c>
      <c r="C48" s="9" t="s">
        <v>110</v>
      </c>
      <c r="D48" s="9" t="s">
        <v>111</v>
      </c>
      <c r="E48" s="9" t="s">
        <v>112</v>
      </c>
    </row>
    <row r="49" spans="1:5" ht="120" customHeight="1" x14ac:dyDescent="0.2">
      <c r="A49" s="1">
        <f t="shared" si="0"/>
        <v>47</v>
      </c>
      <c r="B49" s="10" t="s">
        <v>151</v>
      </c>
      <c r="C49" s="11" t="s">
        <v>113</v>
      </c>
      <c r="D49" s="11" t="s">
        <v>157</v>
      </c>
      <c r="E49" s="11" t="s">
        <v>158</v>
      </c>
    </row>
  </sheetData>
  <mergeCells count="1">
    <mergeCell ref="B1:E1"/>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Rahul Kesavaramanujam</dc:creator>
  <cp:lastModifiedBy>jayiswarya28@gmail.com</cp:lastModifiedBy>
  <dcterms:created xsi:type="dcterms:W3CDTF">2026-05-06T13:16:55Z</dcterms:created>
  <dcterms:modified xsi:type="dcterms:W3CDTF">2026-05-07T18:29:37Z</dcterms:modified>
</cp:coreProperties>
</file>